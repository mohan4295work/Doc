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n Assets" sheetId="1" r:id="rId4"/>
    <sheet state="visible" name="Real Estate Land Assets" sheetId="2" r:id="rId5"/>
  </sheets>
  <definedNames/>
  <calcPr/>
</workbook>
</file>

<file path=xl/sharedStrings.xml><?xml version="1.0" encoding="utf-8"?>
<sst xmlns="http://schemas.openxmlformats.org/spreadsheetml/2006/main" count="24" uniqueCount="22">
  <si>
    <t>Date</t>
  </si>
  <si>
    <t xml:space="preserve">Mutul Funds </t>
  </si>
  <si>
    <t>Stocks</t>
  </si>
  <si>
    <t>EPF</t>
  </si>
  <si>
    <t>PPF</t>
  </si>
  <si>
    <t>ESOP Share</t>
  </si>
  <si>
    <t>Corp NPS</t>
  </si>
  <si>
    <t>ULIP</t>
  </si>
  <si>
    <t>Emergency Savings</t>
  </si>
  <si>
    <t>Buffer Savings</t>
  </si>
  <si>
    <t>Gratuity Mohan</t>
  </si>
  <si>
    <t>Total Fin Assets</t>
  </si>
  <si>
    <t>Market Status</t>
  </si>
  <si>
    <t>Remarks</t>
  </si>
  <si>
    <t>Lands Details</t>
  </si>
  <si>
    <t>Owner Name</t>
  </si>
  <si>
    <t>Acre Value in Sq.</t>
  </si>
  <si>
    <t>Amount Value</t>
  </si>
  <si>
    <t>Total Acre Value</t>
  </si>
  <si>
    <t>FLAT 1</t>
  </si>
  <si>
    <t>OWNER NAME</t>
  </si>
  <si>
    <t>Total Land Asset Values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</si>
</sst>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/YYYY"/>
    <numFmt numFmtId="165" formatCode="##\,##\,##\,##0"/>
  </numFmts>
  <fonts count="7">
    <font>
      <sz val="11.0"/>
      <color rgb="FF000000"/>
      <name val="Calibri"/>
      <scheme val="minor"/>
    </font>
    <font>
      <b/>
      <sz val="12.0"/>
      <color rgb="FF000000"/>
      <name val="Calibri"/>
    </font>
    <font>
      <b/>
      <sz val="10.0"/>
      <color rgb="FF000000"/>
      <name val="Calibri"/>
    </font>
    <font>
      <sz val="11.0"/>
      <color rgb="FF000000"/>
      <name val="Calibri"/>
    </font>
    <font>
      <b/>
      <sz val="14.0"/>
      <color rgb="FF000000"/>
      <name val="Calibri"/>
    </font>
    <font>
      <sz val="12.0"/>
      <color rgb="FF000000"/>
      <name val="Calibri"/>
    </font>
    <font/>
  </fonts>
  <fills count="4">
    <fill>
      <patternFill patternType="none"/>
    </fill>
    <fill>
      <patternFill patternType="lightGray"/>
    </fill>
    <fill>
      <patternFill patternType="solid">
        <fgColor rgb="FFF4B083"/>
        <bgColor rgb="FFF4B083"/>
      </patternFill>
    </fill>
    <fill>
      <patternFill patternType="solid">
        <fgColor theme="0"/>
        <bgColor theme="0"/>
      </patternFill>
    </fill>
  </fills>
  <borders count="10">
    <border/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2" fontId="2" numFmtId="0" xfId="0" applyAlignment="1" applyBorder="1" applyFont="1">
      <alignment horizontal="center" shrinkToFit="0" vertical="center" wrapText="1"/>
    </xf>
    <xf borderId="2" fillId="0" fontId="3" numFmtId="164" xfId="0" applyAlignment="1" applyBorder="1" applyFont="1" applyNumberFormat="1">
      <alignment horizontal="left"/>
    </xf>
    <xf borderId="2" fillId="0" fontId="3" numFmtId="1" xfId="0" applyAlignment="1" applyBorder="1" applyFont="1" applyNumberFormat="1">
      <alignment horizontal="left"/>
    </xf>
    <xf borderId="2" fillId="3" fontId="3" numFmtId="1" xfId="0" applyAlignment="1" applyBorder="1" applyFill="1" applyFont="1" applyNumberFormat="1">
      <alignment horizontal="center"/>
    </xf>
    <xf borderId="2" fillId="0" fontId="3" numFmtId="1" xfId="0" applyAlignment="1" applyBorder="1" applyFont="1" applyNumberFormat="1">
      <alignment horizontal="center"/>
    </xf>
    <xf borderId="2" fillId="0" fontId="4" numFmtId="3" xfId="0" applyAlignment="1" applyBorder="1" applyFont="1" applyNumberFormat="1">
      <alignment horizontal="left"/>
    </xf>
    <xf borderId="2" fillId="0" fontId="4" numFmtId="3" xfId="0" applyAlignment="1" applyBorder="1" applyFont="1" applyNumberFormat="1">
      <alignment horizontal="center"/>
    </xf>
    <xf borderId="2" fillId="0" fontId="1" numFmtId="0" xfId="0" applyAlignment="1" applyBorder="1" applyFont="1">
      <alignment horizontal="center" shrinkToFit="0" vertical="center" wrapText="1"/>
    </xf>
    <xf borderId="2" fillId="2" fontId="1" numFmtId="0" xfId="0" applyAlignment="1" applyBorder="1" applyFont="1">
      <alignment horizontal="center" shrinkToFit="0" vertical="center" wrapText="1"/>
    </xf>
    <xf borderId="2" fillId="2" fontId="2" numFmtId="0" xfId="0" applyAlignment="1" applyBorder="1" applyFont="1">
      <alignment horizontal="center" shrinkToFit="0" vertical="center" wrapText="1"/>
    </xf>
    <xf borderId="2" fillId="0" fontId="3" numFmtId="0" xfId="0" applyAlignment="1" applyBorder="1" applyFont="1">
      <alignment horizontal="center" shrinkToFit="0" wrapText="1"/>
    </xf>
    <xf borderId="2" fillId="0" fontId="5" numFmtId="0" xfId="0" applyAlignment="1" applyBorder="1" applyFont="1">
      <alignment horizontal="center"/>
    </xf>
    <xf borderId="2" fillId="0" fontId="3" numFmtId="0" xfId="0" applyBorder="1" applyFont="1"/>
    <xf borderId="3" fillId="0" fontId="1" numFmtId="0" xfId="0" applyAlignment="1" applyBorder="1" applyFont="1">
      <alignment horizontal="center" vertical="center"/>
    </xf>
    <xf borderId="4" fillId="0" fontId="6" numFmtId="0" xfId="0" applyBorder="1" applyFont="1"/>
    <xf borderId="5" fillId="0" fontId="4" numFmtId="0" xfId="0" applyAlignment="1" applyBorder="1" applyFont="1">
      <alignment horizontal="center" vertical="center"/>
    </xf>
    <xf borderId="6" fillId="0" fontId="3" numFmtId="0" xfId="0" applyAlignment="1" applyBorder="1" applyFont="1">
      <alignment horizontal="center"/>
    </xf>
    <xf borderId="7" fillId="0" fontId="6" numFmtId="0" xfId="0" applyBorder="1" applyFont="1"/>
    <xf borderId="8" fillId="0" fontId="6" numFmtId="0" xfId="0" applyBorder="1" applyFont="1"/>
    <xf borderId="9" fillId="0" fontId="6" numFmtId="0" xfId="0" applyBorder="1" applyFont="1"/>
    <xf borderId="0" fillId="0" fontId="3" numFmtId="165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76200</xdr:colOff>
      <xdr:row>1</xdr:row>
      <xdr:rowOff>47625</xdr:rowOff>
    </xdr:from>
    <xdr:ext cx="219075" cy="1714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76200</xdr:colOff>
      <xdr:row>2</xdr:row>
      <xdr:rowOff>47625</xdr:rowOff>
    </xdr:from>
    <xdr:ext cx="219075" cy="1714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71"/>
    <col customWidth="1" min="2" max="2" width="11.86"/>
    <col customWidth="1" min="3" max="3" width="8.71"/>
    <col customWidth="1" min="4" max="4" width="10.86"/>
    <col customWidth="1" min="5" max="5" width="11.14"/>
    <col customWidth="1" min="6" max="6" width="11.43"/>
    <col customWidth="1" min="7" max="7" width="8.71"/>
    <col customWidth="1" min="8" max="8" width="11.0"/>
    <col customWidth="1" min="9" max="9" width="18.43"/>
    <col customWidth="1" min="10" max="10" width="16.0"/>
    <col customWidth="1" min="11" max="11" width="18.0"/>
    <col customWidth="1" min="12" max="12" width="21.57"/>
    <col customWidth="1" min="13" max="13" width="13.43"/>
    <col customWidth="1" min="14" max="14" width="16.71"/>
    <col customWidth="1" min="15" max="26" width="8.71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1" t="s">
        <v>13</v>
      </c>
    </row>
    <row r="2">
      <c r="A2" s="3">
        <v>45990.0</v>
      </c>
      <c r="B2" s="4">
        <v>2029050.0</v>
      </c>
      <c r="C2" s="4">
        <v>50551.0</v>
      </c>
      <c r="D2" s="4">
        <v>1476982.0</v>
      </c>
      <c r="E2" s="4">
        <v>116946.0</v>
      </c>
      <c r="F2" s="4">
        <v>481581.0</v>
      </c>
      <c r="G2" s="5">
        <v>0.0</v>
      </c>
      <c r="H2" s="4">
        <v>39556.0</v>
      </c>
      <c r="I2" s="4">
        <v>450000.0</v>
      </c>
      <c r="J2" s="6">
        <v>0.0</v>
      </c>
      <c r="K2" s="4">
        <v>416293.0</v>
      </c>
      <c r="L2" s="7">
        <f t="shared" ref="L2:L3" si="1">SUM(B2:K2)</f>
        <v>5060959</v>
      </c>
      <c r="M2" s="8"/>
      <c r="N2" s="9"/>
    </row>
    <row r="3">
      <c r="A3" s="3">
        <v>46020.0</v>
      </c>
      <c r="B3" s="4">
        <v>2029050.0</v>
      </c>
      <c r="C3" s="4">
        <v>50551.0</v>
      </c>
      <c r="D3" s="4">
        <v>1700000.0</v>
      </c>
      <c r="E3" s="4">
        <v>116946.0</v>
      </c>
      <c r="F3" s="4">
        <v>481581.0</v>
      </c>
      <c r="G3" s="5">
        <v>0.0</v>
      </c>
      <c r="H3" s="4">
        <v>39556.0</v>
      </c>
      <c r="I3" s="4">
        <v>450000.0</v>
      </c>
      <c r="J3" s="6">
        <v>0.0</v>
      </c>
      <c r="K3" s="4">
        <v>416293.0</v>
      </c>
      <c r="L3" s="7">
        <f t="shared" si="1"/>
        <v>5283977</v>
      </c>
      <c r="M3" s="8"/>
      <c r="N3" s="9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11.14"/>
    <col customWidth="1" min="2" max="2" width="29.29"/>
    <col customWidth="1" min="3" max="3" width="21.14"/>
    <col customWidth="1" min="4" max="4" width="22.14"/>
    <col customWidth="1" min="5" max="5" width="16.43"/>
    <col customWidth="1" min="6" max="6" width="16.0"/>
    <col customWidth="1" min="7" max="7" width="37.0"/>
    <col customWidth="1" min="8" max="8" width="10.71"/>
    <col customWidth="1" min="9" max="26" width="8.71"/>
  </cols>
  <sheetData>
    <row r="1">
      <c r="A1" s="10" t="s">
        <v>0</v>
      </c>
      <c r="B1" s="11" t="s">
        <v>14</v>
      </c>
      <c r="C1" s="11" t="s">
        <v>15</v>
      </c>
      <c r="D1" s="11" t="s">
        <v>16</v>
      </c>
      <c r="E1" s="11" t="s">
        <v>17</v>
      </c>
      <c r="F1" s="11" t="s">
        <v>18</v>
      </c>
      <c r="G1" s="11" t="s">
        <v>13</v>
      </c>
    </row>
    <row r="2">
      <c r="A2" s="3">
        <v>45990.0</v>
      </c>
      <c r="B2" s="12" t="s">
        <v>19</v>
      </c>
      <c r="C2" s="12" t="s">
        <v>20</v>
      </c>
      <c r="D2" s="13">
        <v>600.0</v>
      </c>
      <c r="E2" s="13">
        <v>60000.0</v>
      </c>
      <c r="F2" s="13">
        <f>SUM(D2*E2)</f>
        <v>36000000</v>
      </c>
      <c r="G2" s="14"/>
    </row>
    <row r="3">
      <c r="D3" s="15" t="s">
        <v>21</v>
      </c>
      <c r="E3" s="16"/>
      <c r="F3" s="17">
        <f>SUM(F2)</f>
        <v>36000000</v>
      </c>
      <c r="G3" s="18"/>
    </row>
    <row r="4">
      <c r="D4" s="19"/>
      <c r="E4" s="20"/>
      <c r="F4" s="21"/>
      <c r="G4" s="21"/>
    </row>
    <row r="7">
      <c r="H7" s="2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D3:E4"/>
    <mergeCell ref="F3:F4"/>
    <mergeCell ref="G3:G4"/>
  </mergeCells>
  <printOptions/>
  <pageMargins bottom="0.75" footer="0.0" header="0.0" left="0.7" right="0.7" top="0.75"/>
  <pageSetup paperSize="9" orientation="landscape"/>
  <drawing r:id="rId1"/>
</worksheet>
</file>